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IDOWU\Downloads\"/>
    </mc:Choice>
  </mc:AlternateContent>
  <xr:revisionPtr revIDLastSave="0" documentId="13_ncr:1_{2D012659-0E27-43FB-8B70-52666147096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C3" i="1"/>
  <c r="C2" i="1"/>
</calcChain>
</file>

<file path=xl/sharedStrings.xml><?xml version="1.0" encoding="utf-8"?>
<sst xmlns="http://schemas.openxmlformats.org/spreadsheetml/2006/main" count="58" uniqueCount="42">
  <si>
    <t>C</t>
  </si>
  <si>
    <t>Inspection Date</t>
  </si>
  <si>
    <t>Due Date Count</t>
  </si>
  <si>
    <t>Asset I.D</t>
  </si>
  <si>
    <t>System</t>
  </si>
  <si>
    <t>Sub-System</t>
  </si>
  <si>
    <t>Reliability Observation</t>
  </si>
  <si>
    <t>Criticality</t>
  </si>
  <si>
    <t>Reliability Status</t>
  </si>
  <si>
    <t xml:space="preserve">End User Status  </t>
  </si>
  <si>
    <t xml:space="preserve">Closed Date  </t>
  </si>
  <si>
    <t>Reliability Confirmed Closed Date</t>
  </si>
  <si>
    <t>Remarks</t>
  </si>
  <si>
    <t>QC 04</t>
  </si>
  <si>
    <t>M-ROOM</t>
  </si>
  <si>
    <t>in the control ystem</t>
  </si>
  <si>
    <t>HMI not showing on QC04</t>
  </si>
  <si>
    <t>MEDIUM</t>
  </si>
  <si>
    <t>CLOSED</t>
  </si>
  <si>
    <t>OK</t>
  </si>
  <si>
    <t>QC 01</t>
  </si>
  <si>
    <t xml:space="preserve">Cabin </t>
  </si>
  <si>
    <t xml:space="preserve">wiper </t>
  </si>
  <si>
    <t>cabin glass wiper defective</t>
  </si>
  <si>
    <t>OPEN</t>
  </si>
  <si>
    <t>Electrical socket not working</t>
  </si>
  <si>
    <t>Cabin ( all the socket in the cabin  notfunctioning</t>
  </si>
  <si>
    <t>HIGH</t>
  </si>
  <si>
    <t>QC 05</t>
  </si>
  <si>
    <t> TLS tank</t>
  </si>
  <si>
    <t>Cartenary</t>
  </si>
  <si>
    <t>1.Hydraulic oil shortage in QC05 TLS tank  </t>
  </si>
  <si>
    <t>LOW</t>
  </si>
  <si>
    <t> 2- Pylon Light​</t>
  </si>
  <si>
    <t>(the apex of the A-frame)​</t>
  </si>
  <si>
    <t>QC01     2- Pylon Light are defective. at the tip of the main boom or (at the apex of the A-frame)​</t>
  </si>
  <si>
    <t>Gantry Sebre thruster brake- Main-plate</t>
  </si>
  <si>
    <t>Landside gantry</t>
  </si>
  <si>
    <t>Gantry Sebre thruster brake- Main-plate has proken</t>
  </si>
  <si>
    <t>RTG 05</t>
  </si>
  <si>
    <t>RTG 01</t>
  </si>
  <si>
    <t>RTG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</si>
</sst>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Aptos Narrow"/>
      <family val="2"/>
    </font>
    <font>
      <sz val="14"/>
      <color theme="1"/>
      <name val="Calibri"/>
      <family val="2"/>
      <scheme val="minor"/>
    </font>
    <font>
      <sz val="14"/>
      <color rgb="FF000000"/>
      <name val="Aptos"/>
      <family val="2"/>
    </font>
    <font>
      <b/>
      <sz val="10"/>
      <color theme="1"/>
      <name val="Calibri"/>
      <family val="2"/>
      <scheme val="minor"/>
    </font>
    <font>
      <sz val="12"/>
      <color rgb="FF000000"/>
      <name val="Calibri Light"/>
      <family val="2"/>
    </font>
    <font>
      <sz val="12"/>
      <color theme="1"/>
      <name val="Calibri"/>
      <family val="2"/>
      <scheme val="minor"/>
    </font>
    <font>
      <sz val="12"/>
      <color rgb="FF000000"/>
      <name val="Calibri Light"/>
      <family val="2"/>
      <charset val="1"/>
    </font>
    <font>
      <sz val="10"/>
      <color rgb="FF000000"/>
      <name val="Aptos"/>
      <family val="2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3" xfId="0" applyBorder="1" applyAlignment="1">
      <alignment horizontal="center" vertical="center"/>
    </xf>
    <xf numFmtId="14" fontId="2" fillId="0" borderId="4" xfId="0" applyNumberFormat="1" applyFont="1" applyBorder="1" applyAlignment="1">
      <alignment horizontal="right" vertical="center" indent="1"/>
    </xf>
    <xf numFmtId="0" fontId="0" fillId="0" borderId="5" xfId="0" applyBorder="1" applyAlignment="1">
      <alignment horizontal="left" vertical="center" indent="4"/>
    </xf>
    <xf numFmtId="0" fontId="2" fillId="0" borderId="5" xfId="0" applyFont="1" applyBorder="1" applyAlignment="1">
      <alignment horizontal="left" vertical="center" wrapText="1" indent="3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2" fillId="0" borderId="2" xfId="0" applyNumberFormat="1" applyFont="1" applyBorder="1" applyAlignment="1">
      <alignment horizontal="right" vertical="center" indent="1"/>
    </xf>
    <xf numFmtId="0" fontId="0" fillId="0" borderId="1" xfId="0" applyBorder="1" applyAlignment="1">
      <alignment horizontal="left" vertical="center" indent="4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6" xfId="0" applyNumberFormat="1" applyFont="1" applyBorder="1" applyAlignment="1">
      <alignment horizontal="right" vertical="center" indent="1"/>
    </xf>
    <xf numFmtId="0" fontId="0" fillId="0" borderId="3" xfId="0" applyBorder="1" applyAlignment="1">
      <alignment horizontal="left" vertical="center" indent="4"/>
    </xf>
    <xf numFmtId="0" fontId="2" fillId="0" borderId="3" xfId="0" applyFont="1" applyBorder="1" applyAlignment="1">
      <alignment horizontal="left" vertical="center" wrapText="1" indent="3"/>
    </xf>
    <xf numFmtId="0" fontId="5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 vertical="center" indent="4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2" fillId="0" borderId="12" xfId="0" applyNumberFormat="1" applyFont="1" applyBorder="1" applyAlignment="1">
      <alignment horizontal="right" vertical="center" indent="1"/>
    </xf>
    <xf numFmtId="0" fontId="14" fillId="0" borderId="1" xfId="0" applyFont="1" applyBorder="1" applyAlignment="1">
      <alignment horizontal="left" vertical="center" wrapText="1" indent="3"/>
    </xf>
    <xf numFmtId="0" fontId="10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right" vertical="center" indent="1"/>
    </xf>
    <xf numFmtId="0" fontId="15" fillId="0" borderId="5" xfId="0" applyFont="1" applyBorder="1" applyAlignment="1">
      <alignment horizontal="left" vertical="center" wrapText="1" indent="3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 indent="4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 indent="1"/>
    </xf>
    <xf numFmtId="0" fontId="1" fillId="2" borderId="1" xfId="0" applyFont="1" applyFill="1" applyBorder="1" applyAlignment="1">
      <alignment horizontal="center" vertical="center" wrapText="1" indent="3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3"/>
    </xf>
    <xf numFmtId="0" fontId="8" fillId="0" borderId="1" xfId="0" applyFont="1" applyBorder="1" applyAlignment="1">
      <alignment horizontal="left" vertical="center" wrapText="1" indent="11"/>
    </xf>
    <xf numFmtId="0" fontId="11" fillId="0" borderId="5" xfId="0" applyFont="1" applyBorder="1" applyAlignment="1">
      <alignment horizontal="left" vertical="center" wrapText="1" indent="3"/>
    </xf>
    <xf numFmtId="0" fontId="0" fillId="0" borderId="11" xfId="0" applyBorder="1" applyAlignment="1">
      <alignment horizontal="center" vertical="center" wrapText="1"/>
    </xf>
    <xf numFmtId="0" fontId="3" fillId="0" borderId="5" xfId="0" applyFont="1" applyBorder="1" applyAlignment="1">
      <alignment vertical="center" indent="4"/>
    </xf>
    <xf numFmtId="0" fontId="7" fillId="0" borderId="1" xfId="0" applyFont="1" applyBorder="1" applyAlignment="1">
      <alignment vertical="center" indent="4"/>
    </xf>
    <xf numFmtId="0" fontId="7" fillId="0" borderId="3" xfId="0" applyFont="1" applyBorder="1" applyAlignment="1">
      <alignment vertical="center" indent="4"/>
    </xf>
    <xf numFmtId="0" fontId="0" fillId="0" borderId="5" xfId="0" applyBorder="1" applyAlignment="1">
      <alignment vertical="center" indent="4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 indent="4"/>
    </xf>
    <xf numFmtId="0" fontId="9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="46" zoomScaleNormal="83" workbookViewId="0">
      <selection activeCell="A10" sqref="A10"/>
    </sheetView>
  </sheetViews>
  <sheetFormatPr defaultRowHeight="14.5" x14ac:dyDescent="0.35"/>
  <cols>
    <col min="1" max="1" width="57.26953125" customWidth="1"/>
    <col min="2" max="2" width="16.54296875" customWidth="1"/>
    <col min="3" max="3" width="34.81640625" customWidth="1"/>
    <col min="4" max="4" width="23.6328125" customWidth="1"/>
    <col min="5" max="5" width="19" customWidth="1"/>
    <col min="6" max="6" width="14.26953125" customWidth="1"/>
    <col min="7" max="7" width="19.453125" customWidth="1"/>
    <col min="8" max="8" width="18.453125" customWidth="1"/>
    <col min="9" max="9" width="23.453125" customWidth="1"/>
    <col min="10" max="10" width="15.54296875" customWidth="1"/>
    <col min="11" max="11" width="18.7265625" customWidth="1"/>
    <col min="12" max="12" width="18.54296875" customWidth="1"/>
    <col min="13" max="13" width="15.1796875" customWidth="1"/>
  </cols>
  <sheetData>
    <row r="1" spans="1:13" ht="65" customHeight="1" x14ac:dyDescent="0.35">
      <c r="A1" s="37" t="s">
        <v>0</v>
      </c>
      <c r="B1" s="40" t="s">
        <v>1</v>
      </c>
      <c r="C1" s="36" t="s">
        <v>2</v>
      </c>
      <c r="D1" s="56" t="s">
        <v>3</v>
      </c>
      <c r="E1" s="41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8" t="s">
        <v>9</v>
      </c>
      <c r="K1" s="39" t="s">
        <v>10</v>
      </c>
      <c r="L1" s="39" t="s">
        <v>11</v>
      </c>
      <c r="M1" s="39" t="s">
        <v>12</v>
      </c>
    </row>
    <row r="2" spans="1:13" ht="70.5" customHeight="1" x14ac:dyDescent="0.35">
      <c r="A2" s="42">
        <v>1</v>
      </c>
      <c r="B2" s="2">
        <v>45924</v>
      </c>
      <c r="C2" s="3">
        <f t="shared" ref="C2" ca="1" si="0">_xlfn.DAYS(TODAY(),B2)</f>
        <v>196</v>
      </c>
      <c r="D2" s="48" t="s">
        <v>13</v>
      </c>
      <c r="E2" s="4" t="s">
        <v>14</v>
      </c>
      <c r="F2" s="59" t="s">
        <v>15</v>
      </c>
      <c r="G2" s="65" t="s">
        <v>16</v>
      </c>
      <c r="H2" s="5" t="s">
        <v>17</v>
      </c>
      <c r="I2" s="6" t="s">
        <v>18</v>
      </c>
      <c r="J2" s="9" t="s">
        <v>18</v>
      </c>
      <c r="K2" s="7">
        <v>46002</v>
      </c>
      <c r="L2" s="8">
        <v>46002</v>
      </c>
      <c r="M2" s="9" t="s">
        <v>19</v>
      </c>
    </row>
    <row r="3" spans="1:13" ht="57.5" customHeight="1" x14ac:dyDescent="0.35">
      <c r="A3" s="43">
        <v>2</v>
      </c>
      <c r="B3" s="11">
        <v>45892</v>
      </c>
      <c r="C3" s="12">
        <f ca="1">_xlfn.DAYS(TODAY(),B3)</f>
        <v>228</v>
      </c>
      <c r="D3" s="49" t="s">
        <v>40</v>
      </c>
      <c r="E3" s="44" t="s">
        <v>21</v>
      </c>
      <c r="F3" s="45" t="s">
        <v>22</v>
      </c>
      <c r="G3" s="57" t="s">
        <v>23</v>
      </c>
      <c r="H3" s="13" t="s">
        <v>17</v>
      </c>
      <c r="I3" s="13" t="s">
        <v>24</v>
      </c>
      <c r="J3" s="14"/>
      <c r="K3" s="15"/>
      <c r="L3" s="14"/>
      <c r="M3" s="14"/>
    </row>
    <row r="4" spans="1:13" ht="64" customHeight="1" x14ac:dyDescent="0.35">
      <c r="A4" s="43">
        <v>3</v>
      </c>
      <c r="B4" s="16">
        <v>45892</v>
      </c>
      <c r="C4" s="17">
        <f ca="1">_xlfn.DAYS(TODAY(),B4)</f>
        <v>228</v>
      </c>
      <c r="D4" s="50" t="s">
        <v>41</v>
      </c>
      <c r="E4" s="18" t="s">
        <v>21</v>
      </c>
      <c r="F4" s="58" t="s">
        <v>25</v>
      </c>
      <c r="G4" s="58" t="s">
        <v>26</v>
      </c>
      <c r="H4" s="19" t="s">
        <v>27</v>
      </c>
      <c r="I4" s="6" t="s">
        <v>18</v>
      </c>
      <c r="J4" s="20" t="s">
        <v>18</v>
      </c>
      <c r="K4" s="21">
        <v>46017</v>
      </c>
      <c r="L4" s="22">
        <v>46018</v>
      </c>
      <c r="M4" s="1" t="s">
        <v>19</v>
      </c>
    </row>
    <row r="5" spans="1:13" ht="46.5" x14ac:dyDescent="0.35">
      <c r="A5" s="43">
        <v>4</v>
      </c>
      <c r="B5" s="11">
        <v>45867</v>
      </c>
      <c r="C5" s="23">
        <f ca="1">_xlfn.DAYS(TODAY(),B5)</f>
        <v>253</v>
      </c>
      <c r="D5" s="51" t="s">
        <v>28</v>
      </c>
      <c r="E5" s="46" t="s">
        <v>29</v>
      </c>
      <c r="F5" s="60" t="s">
        <v>30</v>
      </c>
      <c r="G5" s="63" t="s">
        <v>31</v>
      </c>
      <c r="H5" s="24" t="s">
        <v>32</v>
      </c>
      <c r="I5" s="25" t="s">
        <v>18</v>
      </c>
      <c r="J5" s="10" t="s">
        <v>18</v>
      </c>
      <c r="K5" s="52">
        <v>46031</v>
      </c>
      <c r="L5" s="53">
        <v>46031</v>
      </c>
      <c r="M5" s="26" t="s">
        <v>19</v>
      </c>
    </row>
    <row r="6" spans="1:13" ht="65" x14ac:dyDescent="0.35">
      <c r="A6" s="43">
        <v>5</v>
      </c>
      <c r="B6" s="27">
        <v>45867</v>
      </c>
      <c r="C6" s="12">
        <f ca="1">_xlfn.DAYS(TODAY(),B6)</f>
        <v>253</v>
      </c>
      <c r="D6" s="49" t="s">
        <v>20</v>
      </c>
      <c r="E6" s="28" t="s">
        <v>33</v>
      </c>
      <c r="F6" s="61" t="s">
        <v>34</v>
      </c>
      <c r="G6" s="64" t="s">
        <v>35</v>
      </c>
      <c r="H6" s="29" t="s">
        <v>27</v>
      </c>
      <c r="I6" s="20" t="s">
        <v>18</v>
      </c>
      <c r="J6" s="20" t="s">
        <v>18</v>
      </c>
      <c r="K6" s="30">
        <v>46045</v>
      </c>
      <c r="L6" s="30">
        <v>46045</v>
      </c>
      <c r="M6" s="14"/>
    </row>
    <row r="7" spans="1:13" ht="39" x14ac:dyDescent="0.35">
      <c r="A7" s="47">
        <v>6</v>
      </c>
      <c r="B7" s="31">
        <v>45867</v>
      </c>
      <c r="C7" s="23">
        <f ca="1">_xlfn.DAYS(TODAY(),B7)</f>
        <v>253</v>
      </c>
      <c r="D7" s="51" t="s">
        <v>39</v>
      </c>
      <c r="E7" s="32" t="s">
        <v>36</v>
      </c>
      <c r="F7" s="62" t="s">
        <v>37</v>
      </c>
      <c r="G7" s="62" t="s">
        <v>38</v>
      </c>
      <c r="H7" s="33" t="s">
        <v>27</v>
      </c>
      <c r="I7" s="34" t="s">
        <v>18</v>
      </c>
      <c r="J7" s="35" t="s">
        <v>18</v>
      </c>
      <c r="K7" s="54">
        <v>46003</v>
      </c>
      <c r="L7" s="55">
        <v>46003</v>
      </c>
      <c r="M7" s="1" t="s">
        <v>19</v>
      </c>
    </row>
  </sheetData>
  <conditionalFormatting sqref="H2:H7">
    <cfRule type="containsText" dxfId="4" priority="3" operator="containsText" text="LOW">
      <formula>NOT(ISERROR(SEARCH("LOW",H2)))</formula>
    </cfRule>
    <cfRule type="containsText" dxfId="3" priority="4" operator="containsText" text="MEDIUM">
      <formula>NOT(ISERROR(SEARCH("MEDIUM",H2)))</formula>
    </cfRule>
    <cfRule type="containsText" dxfId="2" priority="5" operator="containsText" text="HIGH">
      <formula>NOT(ISERROR(SEARCH("HIGH",H2)))</formula>
    </cfRule>
  </conditionalFormatting>
  <conditionalFormatting sqref="I2:J2 I3:K3 I4:J7">
    <cfRule type="containsText" dxfId="1" priority="1" operator="containsText" text="CLOSED">
      <formula>NOT(ISERROR(SEARCH("CLOSED",I2)))</formula>
    </cfRule>
    <cfRule type="containsText" dxfId="0" priority="2" operator="containsText" text="OPEN">
      <formula>NOT(ISERROR(SEARCH("OPEN",I2)))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 Idowu</cp:lastModifiedBy>
  <cp:revision/>
  <dcterms:created xsi:type="dcterms:W3CDTF">2026-03-31T16:00:03Z</dcterms:created>
  <dcterms:modified xsi:type="dcterms:W3CDTF">2026-04-08T07:32:19Z</dcterms:modified>
  <cp:category/>
  <cp:contentStatus/>
</cp:coreProperties>
</file>